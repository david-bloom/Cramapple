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Model" sheetId="2" state="visible" r:id="rId4"/>
    <sheet name="Scenarios" sheetId="3" state="visible" r:id="rId5"/>
    <sheet name="Inference 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<sst xmlns="http://schemas.openxmlformats.org/spreadsheetml/2006/main" count="171" uniqueCount="154">
  <si>
    <t xml:space="preserve">CRAMAPPLE — MODEL ASSUMPTIONS</t>
  </si>
  <si>
    <t xml:space="preserve">Aug-Dec 2026</t>
  </si>
  <si>
    <t xml:space="preserve">Jan-Mar 2027</t>
  </si>
  <si>
    <t xml:space="preserve">Apr-May 2027</t>
  </si>
  <si>
    <t xml:space="preserve">Jun-Dec 2027</t>
  </si>
  <si>
    <t xml:space="preserve">FY 2027</t>
  </si>
  <si>
    <t xml:space="preserve">Notes</t>
  </si>
  <si>
    <t xml:space="preserve">PRODUCT &amp; PRICING</t>
  </si>
  <si>
    <t xml:space="preserve">Base price per subject ($)</t>
  </si>
  <si>
    <t xml:space="preserve">Single subject, one-time purchase</t>
  </si>
  <si>
    <t xml:space="preserve">Refund rate (%)</t>
  </si>
  <si>
    <t xml:space="preserve">Estimate — adjust after launch data</t>
  </si>
  <si>
    <t xml:space="preserve">Avg subjects per customer</t>
  </si>
  <si>
    <t xml:space="preserve">Single-SKU launch; expand model later</t>
  </si>
  <si>
    <t xml:space="preserve">VARIABLE COST — AI INFERENCE</t>
  </si>
  <si>
    <t xml:space="preserve">Avg sessions per user</t>
  </si>
  <si>
    <t xml:space="preserve">Placeholder; light=3, heavy=10 — update with August data</t>
  </si>
  <si>
    <t xml:space="preserve">Avg exchanges per session</t>
  </si>
  <si>
    <t xml:space="preserve">Mix of MC, instruction, FRQ turns</t>
  </si>
  <si>
    <t xml:space="preserve">Avg input tokens per exchange</t>
  </si>
  <si>
    <t xml:space="preserve">Includes system prompt / canonical context loaded each session</t>
  </si>
  <si>
    <t xml:space="preserve">Avg output tokens per exchange</t>
  </si>
  <si>
    <t xml:space="preserve">FRQ feedback ~600 tokens; MC ~150</t>
  </si>
  <si>
    <t xml:space="preserve">Input token rate ($ per 1M)</t>
  </si>
  <si>
    <t xml:space="preserve">Claude Sonnet approx — update when model is locked</t>
  </si>
  <si>
    <t xml:space="preserve">Output token rate ($ per 1M)</t>
  </si>
  <si>
    <t xml:space="preserve">  → Inference cost per user ($)</t>
  </si>
  <si>
    <t xml:space="preserve">sessions × exchanges × ((input_tokens×input_rate) + (output_tokens×output_rate))</t>
  </si>
  <si>
    <t xml:space="preserve">ACQUISITION — FIXED SPEND CHANNELS (monthly budget $)</t>
  </si>
  <si>
    <t xml:space="preserve">Influencer / creator spend ($/mo)</t>
  </si>
  <si>
    <t xml:space="preserve">Monthly budget — you adjust per channel</t>
  </si>
  <si>
    <t xml:space="preserve">Paid social / ads spend ($/mo)</t>
  </si>
  <si>
    <t xml:space="preserve">Instagram, TikTok — optimize based on results</t>
  </si>
  <si>
    <t xml:space="preserve">Conversion rate — paid social (%)</t>
  </si>
  <si>
    <t xml:space="preserve">Industry 2-4%; Aug=learning phase, use 1%</t>
  </si>
  <si>
    <t xml:space="preserve">Avg CPC ($ per click)</t>
  </si>
  <si>
    <t xml:space="preserve">Replace with actuals from first campaign</t>
  </si>
  <si>
    <t xml:space="preserve">ACQUISITION — REFERRAL (performance; no budget)</t>
  </si>
  <si>
    <t xml:space="preserve">Referral fee (% of sale)</t>
  </si>
  <si>
    <t xml:space="preserve">20% = $8 per $39.99 sale; success-only, no cap</t>
  </si>
  <si>
    <t xml:space="preserve">Referral % of new users (est.)</t>
  </si>
  <si>
    <t xml:space="preserve">Grows as tutor channel matures; zero until program launches</t>
  </si>
  <si>
    <t xml:space="preserve">ACQUISITION — ORGANIC / DIRECT</t>
  </si>
  <si>
    <t xml:space="preserve">Organic new users per period</t>
  </si>
  <si>
    <t xml:space="preserve">Personal network, word of mouth, earned media</t>
  </si>
  <si>
    <t xml:space="preserve">OTHER VARIABLE COSTS</t>
  </si>
  <si>
    <t xml:space="preserve">Payment processing — % of revenue</t>
  </si>
  <si>
    <t xml:space="preserve">Stripe 2.9%</t>
  </si>
  <si>
    <t xml:space="preserve">Payment processing — per transaction ($)</t>
  </si>
  <si>
    <t xml:space="preserve">Stripe $0.30 flat fee</t>
  </si>
  <si>
    <t xml:space="preserve">Support cost per user ($)</t>
  </si>
  <si>
    <t xml:space="preserve">Estimate — update as support volume becomes visible</t>
  </si>
  <si>
    <t xml:space="preserve">COLOR LEGEND</t>
  </si>
  <si>
    <t xml:space="preserve">Blue text = input (you change this)</t>
  </si>
  <si>
    <t xml:space="preserve">Black text = calculated formula</t>
  </si>
  <si>
    <t xml:space="preserve">Green text = linked from another sheet</t>
  </si>
  <si>
    <t xml:space="preserve">Yellow background = key assumption — review before presenting</t>
  </si>
  <si>
    <t xml:space="preserve">CRAMAPPLE — UNIT ECONOMICS &amp; P&amp;L</t>
  </si>
  <si>
    <t xml:space="preserve">USER ACQUISITION</t>
  </si>
  <si>
    <t xml:space="preserve">  Paid social users acquired</t>
  </si>
  <si>
    <t xml:space="preserve">(budget / CPC) x conv rate x months in period</t>
  </si>
  <si>
    <t xml:space="preserve">  Organic users acquired</t>
  </si>
  <si>
    <t xml:space="preserve">From Assumptions organic row</t>
  </si>
  <si>
    <t xml:space="preserve">  Referral users acquired</t>
  </si>
  <si>
    <t xml:space="preserve">(paid + organic) x ref share / (1 - ref share)</t>
  </si>
  <si>
    <t xml:space="preserve">Total new users</t>
  </si>
  <si>
    <t xml:space="preserve">Sum of all acquisition channels</t>
  </si>
  <si>
    <t xml:space="preserve">REVENUE</t>
  </si>
  <si>
    <t xml:space="preserve">  Gross revenue</t>
  </si>
  <si>
    <t xml:space="preserve">Users × price × avg subjects</t>
  </si>
  <si>
    <t xml:space="preserve">  Less: refunds</t>
  </si>
  <si>
    <t xml:space="preserve">Gross rev × refund rate</t>
  </si>
  <si>
    <t xml:space="preserve">Net revenue</t>
  </si>
  <si>
    <t xml:space="preserve">Gross less refunds</t>
  </si>
  <si>
    <t xml:space="preserve">VARIABLE COSTS</t>
  </si>
  <si>
    <t xml:space="preserve">  AI inference cost</t>
  </si>
  <si>
    <t xml:space="preserve">Users × inference cost/user</t>
  </si>
  <si>
    <t xml:space="preserve">  Payment processing — % fee</t>
  </si>
  <si>
    <t xml:space="preserve">Stripe 2.9% of net revenue</t>
  </si>
  <si>
    <t xml:space="preserve">  Payment processing — per-txn</t>
  </si>
  <si>
    <t xml:space="preserve">$0.30 × total users</t>
  </si>
  <si>
    <t xml:space="preserve">  Referral fees paid</t>
  </si>
  <si>
    <t xml:space="preserve">Referral users × price × 20%</t>
  </si>
  <si>
    <t xml:space="preserve">  Paid social spend</t>
  </si>
  <si>
    <t xml:space="preserve">Monthly ad budget × months in period</t>
  </si>
  <si>
    <t xml:space="preserve">  Influencer / creator spend</t>
  </si>
  <si>
    <t xml:space="preserve">Monthly influencer budget × months in period</t>
  </si>
  <si>
    <t xml:space="preserve">  Support costs</t>
  </si>
  <si>
    <t xml:space="preserve">$1/user placeholder</t>
  </si>
  <si>
    <t xml:space="preserve">Total variable costs</t>
  </si>
  <si>
    <t xml:space="preserve">Sum of all variable cost lines</t>
  </si>
  <si>
    <t xml:space="preserve">CONTRIBUTION MARGIN</t>
  </si>
  <si>
    <t xml:space="preserve">Contribution margin ($)</t>
  </si>
  <si>
    <t xml:space="preserve">Net revenue + total variable costs (costs are negative)</t>
  </si>
  <si>
    <t xml:space="preserve">Contribution margin (%)</t>
  </si>
  <si>
    <t xml:space="preserve">CM ÷ net revenue</t>
  </si>
  <si>
    <t xml:space="preserve">PER-USER METRICS — KEY INDICATORS</t>
  </si>
  <si>
    <t xml:space="preserve">Revenue per user ($)</t>
  </si>
  <si>
    <t xml:space="preserve">Net revenue ÷ total users</t>
  </si>
  <si>
    <t xml:space="preserve">Variable cost per user ($)</t>
  </si>
  <si>
    <t xml:space="preserve">Total variable cost ÷ users (will be negative)</t>
  </si>
  <si>
    <t xml:space="preserve">Contribution per user ($)</t>
  </si>
  <si>
    <t xml:space="preserve">CM ÷ users — margin per sale after all variable costs</t>
  </si>
  <si>
    <t xml:space="preserve">CUSTOMER ACQUISITION COST (CAC)</t>
  </si>
  <si>
    <t xml:space="preserve">Total paid acquisition spend ($)</t>
  </si>
  <si>
    <t xml:space="preserve">(Influencer + paid social) × months in period</t>
  </si>
  <si>
    <t xml:space="preserve">Paid social users only</t>
  </si>
  <si>
    <t xml:space="preserve">Paid channel users from acquisition section</t>
  </si>
  <si>
    <t xml:space="preserve">CAC — paid channels only ($)</t>
  </si>
  <si>
    <t xml:space="preserve">Paid spend ÷ paid users acquired</t>
  </si>
  <si>
    <t xml:space="preserve">CAC — blended all channels ($)</t>
  </si>
  <si>
    <t xml:space="preserve">Paid spend ÷ ALL users (organic and referral dilute CAC)</t>
  </si>
  <si>
    <t xml:space="preserve">SPRING 2027 SCENARIO STRESS TEST (Apr-May 2027 — 2-month primary window)</t>
  </si>
  <si>
    <t xml:space="preserve">Bear</t>
  </si>
  <si>
    <t xml:space="preserve">Base</t>
  </si>
  <si>
    <t xml:space="preserve">Bull</t>
  </si>
  <si>
    <t xml:space="preserve">INPUTS</t>
  </si>
  <si>
    <t xml:space="preserve">Total users (2-month period)</t>
  </si>
  <si>
    <t xml:space="preserve">Bear=soft launch only; Bull=word of mouth working</t>
  </si>
  <si>
    <t xml:space="preserve">Price ($)</t>
  </si>
  <si>
    <t xml:space="preserve">Held constant; test discounts separately</t>
  </si>
  <si>
    <t xml:space="preserve">Inference cost per user ($)</t>
  </si>
  <si>
    <t xml:space="preserve">Bear=heavy FRQ use; Bull=efficient session mix</t>
  </si>
  <si>
    <t xml:space="preserve">Referral % of users</t>
  </si>
  <si>
    <t xml:space="preserve">Grows as tutor referral channel matures</t>
  </si>
  <si>
    <t xml:space="preserve">Total paid social spend ($)</t>
  </si>
  <si>
    <t xml:space="preserve">Fixed 2-month budget across scenarios</t>
  </si>
  <si>
    <t xml:space="preserve">Bear reflects grading quality risk</t>
  </si>
  <si>
    <t xml:space="preserve">OUTPUTS</t>
  </si>
  <si>
    <t xml:space="preserve">Gross revenue</t>
  </si>
  <si>
    <t xml:space="preserve">Users × price</t>
  </si>
  <si>
    <t xml:space="preserve">Net revenue (after refunds)</t>
  </si>
  <si>
    <t xml:space="preserve">AI inference cost</t>
  </si>
  <si>
    <t xml:space="preserve">Referral fees</t>
  </si>
  <si>
    <t xml:space="preserve">Payment processing</t>
  </si>
  <si>
    <t xml:space="preserve">2.9% + $0.30/txn</t>
  </si>
  <si>
    <t xml:space="preserve">Paid social spend</t>
  </si>
  <si>
    <t xml:space="preserve">Fixed budget input</t>
  </si>
  <si>
    <t xml:space="preserve">Support costs</t>
  </si>
  <si>
    <t xml:space="preserve">$1/user</t>
  </si>
  <si>
    <t xml:space="preserve">Net rev + all variable costs</t>
  </si>
  <si>
    <t xml:space="preserve">CM per user ($)</t>
  </si>
  <si>
    <t xml:space="preserve">Blended CAC ($)</t>
  </si>
  <si>
    <t xml:space="preserve">Paid spend ÷ total users</t>
  </si>
  <si>
    <t xml:space="preserve">AI INFERENCE COST SENSITIVITY — Cost per User ($)  |  Input rate fixed at $3.00/1M</t>
  </si>
  <si>
    <t xml:space="preserve">Sessions per user →</t>
  </si>
  <si>
    <t xml:space="preserve">Blue cell = base case (6 sessions, $15 output rate)</t>
  </si>
  <si>
    <t xml:space="preserve">Output rate $10.00/1M</t>
  </si>
  <si>
    <t xml:space="preserve">sessions x 10 exchanges x token costs</t>
  </si>
  <si>
    <t xml:space="preserve">Output rate $12.00/1M</t>
  </si>
  <si>
    <t xml:space="preserve">Output rate $15.00/1M</t>
  </si>
  <si>
    <t xml:space="preserve">Output rate $18.00/1M</t>
  </si>
  <si>
    <t xml:space="preserve">Output rate $22.00/1M</t>
  </si>
  <si>
    <t xml:space="preserve">Assumptions: 10 exchanges/session | 2,500 input tokens/exchange | 500 output tokens/exchange | input rate $3.00/1M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</si>
</sst>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0.0"/>
    <numFmt numFmtId="168" formatCode="#,##0;\(#,##0\);\-"/>
    <numFmt numFmtId="169" formatCode="\$#,##0;&quot;($&quot;#,##0\);\-"/>
    <numFmt numFmtId="170" formatCode="#,##0;\(#,##0\);\-"/>
    <numFmt numFmtId="171" formatCode="\$#,##0;&quot;($&quot;#,##0\);\-"/>
    <numFmt numFmtId="172" formatCode="0.0%;\(0.0%\);\-"/>
    <numFmt numFmtId="173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8A"/>
        <bgColor rgb="FF008080"/>
      </patternFill>
    </fill>
    <fill>
      <patternFill patternType="solid">
        <fgColor rgb="FFD6E4F0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1B5E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4"/>
    <col collapsed="false" customWidth="true" hidden="false" outlineLevel="0" max="7" min="7" style="1" width="3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customFormat="false" ht="15" hidden="false" customHeight="true" outlineLevel="0" collapsed="false">
      <c r="A3" s="5" t="s">
        <v>7</v>
      </c>
      <c r="B3" s="5"/>
      <c r="C3" s="5"/>
      <c r="D3" s="5"/>
      <c r="E3" s="5"/>
      <c r="F3" s="5"/>
    </row>
    <row r="4" customFormat="false" ht="15" hidden="false" customHeight="true" outlineLevel="0" collapsed="false">
      <c r="A4" s="6" t="s">
        <v>8</v>
      </c>
      <c r="B4" s="7" t="n">
        <v>39.99</v>
      </c>
      <c r="C4" s="7" t="n">
        <v>39.99</v>
      </c>
      <c r="D4" s="7" t="n">
        <v>39.99</v>
      </c>
      <c r="E4" s="7" t="n">
        <v>39.99</v>
      </c>
      <c r="F4" s="7" t="n">
        <v>39.99</v>
      </c>
      <c r="G4" s="1" t="s">
        <v>9</v>
      </c>
    </row>
    <row r="5" customFormat="false" ht="15" hidden="false" customHeight="true" outlineLevel="0" collapsed="false">
      <c r="A5" s="8" t="s">
        <v>10</v>
      </c>
      <c r="B5" s="9" t="n">
        <v>0.05</v>
      </c>
      <c r="C5" s="9" t="n">
        <v>0.05</v>
      </c>
      <c r="D5" s="9" t="n">
        <v>0.05</v>
      </c>
      <c r="E5" s="9" t="n">
        <v>0.05</v>
      </c>
      <c r="F5" s="9" t="n">
        <v>0.05</v>
      </c>
      <c r="G5" s="1" t="s">
        <v>11</v>
      </c>
    </row>
    <row r="6" customFormat="false" ht="15" hidden="false" customHeight="true" outlineLevel="0" collapsed="false">
      <c r="A6" s="6" t="s">
        <v>12</v>
      </c>
      <c r="B6" s="10" t="n">
        <v>1</v>
      </c>
      <c r="C6" s="10" t="n">
        <v>1</v>
      </c>
      <c r="D6" s="10" t="n">
        <v>1</v>
      </c>
      <c r="E6" s="10" t="n">
        <v>1</v>
      </c>
      <c r="F6" s="10" t="n">
        <v>1</v>
      </c>
      <c r="G6" s="1" t="s">
        <v>13</v>
      </c>
    </row>
    <row r="8" customFormat="false" ht="15" hidden="false" customHeight="true" outlineLevel="0" collapsed="false">
      <c r="A8" s="5" t="s">
        <v>14</v>
      </c>
      <c r="B8" s="5"/>
      <c r="C8" s="5"/>
      <c r="D8" s="5"/>
      <c r="E8" s="5"/>
      <c r="F8" s="5"/>
    </row>
    <row r="9" customFormat="false" ht="15" hidden="false" customHeight="true" outlineLevel="0" collapsed="false">
      <c r="A9" s="8" t="s">
        <v>15</v>
      </c>
      <c r="B9" s="11" t="n">
        <v>6</v>
      </c>
      <c r="C9" s="11" t="n">
        <v>6</v>
      </c>
      <c r="D9" s="11" t="n">
        <v>6</v>
      </c>
      <c r="E9" s="11" t="n">
        <v>6</v>
      </c>
      <c r="F9" s="11" t="n">
        <v>6</v>
      </c>
      <c r="G9" s="1" t="s">
        <v>16</v>
      </c>
    </row>
    <row r="10" customFormat="false" ht="15" hidden="false" customHeight="true" outlineLevel="0" collapsed="false">
      <c r="A10" s="6" t="s">
        <v>17</v>
      </c>
      <c r="B10" s="12" t="n">
        <v>10</v>
      </c>
      <c r="C10" s="12" t="n">
        <v>10</v>
      </c>
      <c r="D10" s="12" t="n">
        <v>10</v>
      </c>
      <c r="E10" s="12" t="n">
        <v>10</v>
      </c>
      <c r="F10" s="12" t="n">
        <v>10</v>
      </c>
      <c r="G10" s="1" t="s">
        <v>18</v>
      </c>
    </row>
    <row r="11" customFormat="false" ht="15" hidden="false" customHeight="true" outlineLevel="0" collapsed="false">
      <c r="A11" s="8" t="s">
        <v>19</v>
      </c>
      <c r="B11" s="11" t="n">
        <v>2500</v>
      </c>
      <c r="C11" s="11" t="n">
        <v>2500</v>
      </c>
      <c r="D11" s="11" t="n">
        <v>2500</v>
      </c>
      <c r="E11" s="11" t="n">
        <v>2500</v>
      </c>
      <c r="F11" s="11" t="n">
        <v>2500</v>
      </c>
      <c r="G11" s="1" t="s">
        <v>20</v>
      </c>
    </row>
    <row r="12" customFormat="false" ht="15" hidden="false" customHeight="true" outlineLevel="0" collapsed="false">
      <c r="A12" s="6" t="s">
        <v>21</v>
      </c>
      <c r="B12" s="12" t="n">
        <v>500</v>
      </c>
      <c r="C12" s="12" t="n">
        <v>500</v>
      </c>
      <c r="D12" s="12" t="n">
        <v>500</v>
      </c>
      <c r="E12" s="12" t="n">
        <v>500</v>
      </c>
      <c r="F12" s="12" t="n">
        <v>500</v>
      </c>
      <c r="G12" s="1" t="s">
        <v>22</v>
      </c>
    </row>
    <row r="13" customFormat="false" ht="15" hidden="false" customHeight="true" outlineLevel="0" collapsed="false">
      <c r="A13" s="8" t="s">
        <v>23</v>
      </c>
      <c r="B13" s="13" t="n">
        <v>3</v>
      </c>
      <c r="C13" s="13" t="n">
        <v>3</v>
      </c>
      <c r="D13" s="13" t="n">
        <v>3</v>
      </c>
      <c r="E13" s="13" t="n">
        <v>3</v>
      </c>
      <c r="F13" s="13" t="n">
        <v>3</v>
      </c>
      <c r="G13" s="1" t="s">
        <v>24</v>
      </c>
    </row>
    <row r="14" customFormat="false" ht="15" hidden="false" customHeight="true" outlineLevel="0" collapsed="false">
      <c r="A14" s="8" t="s">
        <v>25</v>
      </c>
      <c r="B14" s="13" t="n">
        <v>15</v>
      </c>
      <c r="C14" s="13" t="n">
        <v>15</v>
      </c>
      <c r="D14" s="13" t="n">
        <v>15</v>
      </c>
      <c r="E14" s="13" t="n">
        <v>15</v>
      </c>
      <c r="F14" s="13" t="n">
        <v>15</v>
      </c>
      <c r="G14" s="1" t="s">
        <v>24</v>
      </c>
    </row>
    <row r="15" customFormat="false" ht="15" hidden="false" customHeight="true" outlineLevel="0" collapsed="false">
      <c r="A15" s="14" t="s">
        <v>26</v>
      </c>
      <c r="B15" s="15" t="n">
        <f aca="false">B8*B9*((B10*B12/1000000)+(B11*B13/1000000))</f>
        <v>0</v>
      </c>
      <c r="C15" s="15" t="n">
        <f aca="false">C8*C9*((C10*C12/1000000)+(C11*C13/1000000))</f>
        <v>0</v>
      </c>
      <c r="D15" s="15" t="n">
        <f aca="false">D8*D9*((D10*D12/1000000)+(D11*D13/1000000))</f>
        <v>0</v>
      </c>
      <c r="E15" s="15" t="n">
        <f aca="false">E8*E9*((E10*E12/1000000)+(E11*E13/1000000))</f>
        <v>0</v>
      </c>
      <c r="F15" s="15" t="n">
        <f aca="false">F8*F9*((F10*F12/1000000)+(F11*F13/1000000))</f>
        <v>0</v>
      </c>
      <c r="G15" s="1" t="s">
        <v>27</v>
      </c>
    </row>
    <row r="17" customFormat="false" ht="15" hidden="false" customHeight="true" outlineLevel="0" collapsed="false">
      <c r="A17" s="5" t="s">
        <v>28</v>
      </c>
      <c r="B17" s="5"/>
      <c r="C17" s="5"/>
      <c r="D17" s="5"/>
      <c r="E17" s="5"/>
      <c r="F17" s="5"/>
    </row>
    <row r="18" customFormat="false" ht="15" hidden="false" customHeight="true" outlineLevel="0" collapsed="false">
      <c r="A18" s="6" t="s">
        <v>29</v>
      </c>
      <c r="B18" s="16" t="n">
        <v>0</v>
      </c>
      <c r="C18" s="16" t="n">
        <v>250</v>
      </c>
      <c r="D18" s="16" t="n">
        <v>500</v>
      </c>
      <c r="E18" s="16" t="n">
        <v>500</v>
      </c>
      <c r="F18" s="16" t="n">
        <v>500</v>
      </c>
      <c r="G18" s="1" t="s">
        <v>30</v>
      </c>
    </row>
    <row r="19" customFormat="false" ht="15" hidden="false" customHeight="true" outlineLevel="0" collapsed="false">
      <c r="A19" s="6" t="s">
        <v>31</v>
      </c>
      <c r="B19" s="16" t="n">
        <v>0</v>
      </c>
      <c r="C19" s="16" t="n">
        <v>250</v>
      </c>
      <c r="D19" s="16" t="n">
        <v>500</v>
      </c>
      <c r="E19" s="16" t="n">
        <v>500</v>
      </c>
      <c r="F19" s="16" t="n">
        <v>500</v>
      </c>
      <c r="G19" s="1" t="s">
        <v>32</v>
      </c>
    </row>
    <row r="20" customFormat="false" ht="15" hidden="false" customHeight="true" outlineLevel="0" collapsed="false">
      <c r="A20" s="8" t="s">
        <v>33</v>
      </c>
      <c r="B20" s="9" t="n">
        <v>0.01</v>
      </c>
      <c r="C20" s="9" t="n">
        <v>0.02</v>
      </c>
      <c r="D20" s="9" t="n">
        <v>0.03</v>
      </c>
      <c r="E20" s="9" t="n">
        <v>0.03</v>
      </c>
      <c r="F20" s="9" t="n">
        <v>0.03</v>
      </c>
      <c r="G20" s="1" t="s">
        <v>34</v>
      </c>
    </row>
    <row r="21" customFormat="false" ht="15" hidden="false" customHeight="true" outlineLevel="0" collapsed="false">
      <c r="A21" s="8" t="s">
        <v>35</v>
      </c>
      <c r="B21" s="13" t="n">
        <v>1.5</v>
      </c>
      <c r="C21" s="13" t="n">
        <v>1.5</v>
      </c>
      <c r="D21" s="13" t="n">
        <v>1.5</v>
      </c>
      <c r="E21" s="13" t="n">
        <v>1.5</v>
      </c>
      <c r="F21" s="13" t="n">
        <v>1.5</v>
      </c>
      <c r="G21" s="1" t="s">
        <v>36</v>
      </c>
    </row>
    <row r="23" customFormat="false" ht="15" hidden="false" customHeight="true" outlineLevel="0" collapsed="false">
      <c r="A23" s="5" t="s">
        <v>37</v>
      </c>
      <c r="B23" s="5"/>
      <c r="C23" s="5"/>
      <c r="D23" s="5"/>
      <c r="E23" s="5"/>
      <c r="F23" s="5"/>
    </row>
    <row r="24" customFormat="false" ht="15" hidden="false" customHeight="true" outlineLevel="0" collapsed="false">
      <c r="A24" s="6" t="s">
        <v>38</v>
      </c>
      <c r="B24" s="17" t="n">
        <v>0.2</v>
      </c>
      <c r="C24" s="17" t="n">
        <v>0.2</v>
      </c>
      <c r="D24" s="17" t="n">
        <v>0.2</v>
      </c>
      <c r="E24" s="17" t="n">
        <v>0.2</v>
      </c>
      <c r="F24" s="17" t="n">
        <v>0.2</v>
      </c>
      <c r="G24" s="1" t="s">
        <v>39</v>
      </c>
    </row>
    <row r="25" customFormat="false" ht="15" hidden="false" customHeight="true" outlineLevel="0" collapsed="false">
      <c r="A25" s="8" t="s">
        <v>40</v>
      </c>
      <c r="B25" s="9" t="n">
        <v>0</v>
      </c>
      <c r="C25" s="9" t="n">
        <v>0.05</v>
      </c>
      <c r="D25" s="9" t="n">
        <v>0.1</v>
      </c>
      <c r="E25" s="9" t="n">
        <v>0.15</v>
      </c>
      <c r="F25" s="9" t="n">
        <v>0.12</v>
      </c>
      <c r="G25" s="1" t="s">
        <v>41</v>
      </c>
    </row>
    <row r="27" customFormat="false" ht="15" hidden="false" customHeight="true" outlineLevel="0" collapsed="false">
      <c r="A27" s="5" t="s">
        <v>42</v>
      </c>
      <c r="B27" s="5"/>
      <c r="C27" s="5"/>
      <c r="D27" s="5"/>
      <c r="E27" s="5"/>
      <c r="F27" s="5"/>
    </row>
    <row r="28" customFormat="false" ht="15" hidden="false" customHeight="true" outlineLevel="0" collapsed="false">
      <c r="A28" s="8" t="s">
        <v>43</v>
      </c>
      <c r="B28" s="11" t="n">
        <v>10</v>
      </c>
      <c r="C28" s="11" t="n">
        <v>25</v>
      </c>
      <c r="D28" s="11" t="n">
        <v>75</v>
      </c>
      <c r="E28" s="11" t="n">
        <v>50</v>
      </c>
      <c r="F28" s="11" t="n">
        <v>150</v>
      </c>
      <c r="G28" s="1" t="s">
        <v>44</v>
      </c>
    </row>
    <row r="30" customFormat="false" ht="15" hidden="false" customHeight="true" outlineLevel="0" collapsed="false">
      <c r="A30" s="5" t="s">
        <v>45</v>
      </c>
      <c r="B30" s="5"/>
      <c r="C30" s="5"/>
      <c r="D30" s="5"/>
      <c r="E30" s="5"/>
      <c r="F30" s="5"/>
    </row>
    <row r="31" customFormat="false" ht="15" hidden="false" customHeight="true" outlineLevel="0" collapsed="false">
      <c r="A31" s="6" t="s">
        <v>46</v>
      </c>
      <c r="B31" s="17" t="n">
        <v>0.029</v>
      </c>
      <c r="C31" s="17" t="n">
        <v>0.029</v>
      </c>
      <c r="D31" s="17" t="n">
        <v>0.029</v>
      </c>
      <c r="E31" s="17" t="n">
        <v>0.029</v>
      </c>
      <c r="F31" s="17" t="n">
        <v>0.029</v>
      </c>
      <c r="G31" s="1" t="s">
        <v>47</v>
      </c>
    </row>
    <row r="32" customFormat="false" ht="15" hidden="false" customHeight="true" outlineLevel="0" collapsed="false">
      <c r="A32" s="6" t="s">
        <v>48</v>
      </c>
      <c r="B32" s="7" t="n">
        <v>0.3</v>
      </c>
      <c r="C32" s="7" t="n">
        <v>0.3</v>
      </c>
      <c r="D32" s="7" t="n">
        <v>0.3</v>
      </c>
      <c r="E32" s="7" t="n">
        <v>0.3</v>
      </c>
      <c r="F32" s="7" t="n">
        <v>0.3</v>
      </c>
      <c r="G32" s="1" t="s">
        <v>49</v>
      </c>
    </row>
    <row r="33" customFormat="false" ht="15" hidden="false" customHeight="true" outlineLevel="0" collapsed="false">
      <c r="A33" s="8" t="s">
        <v>50</v>
      </c>
      <c r="B33" s="13" t="n">
        <v>1</v>
      </c>
      <c r="C33" s="13" t="n">
        <v>1</v>
      </c>
      <c r="D33" s="13" t="n">
        <v>1</v>
      </c>
      <c r="E33" s="13" t="n">
        <v>1</v>
      </c>
      <c r="F33" s="13" t="n">
        <v>1</v>
      </c>
      <c r="G33" s="1" t="s">
        <v>51</v>
      </c>
    </row>
    <row r="36" customFormat="false" ht="15" hidden="false" customHeight="true" outlineLevel="0" collapsed="false">
      <c r="A36" s="5" t="s">
        <v>52</v>
      </c>
      <c r="B36" s="5"/>
      <c r="C36" s="5"/>
    </row>
    <row r="37" customFormat="false" ht="15" hidden="false" customHeight="true" outlineLevel="0" collapsed="false">
      <c r="A37" s="18" t="s">
        <v>53</v>
      </c>
    </row>
    <row r="38" customFormat="false" ht="15" hidden="false" customHeight="true" outlineLevel="0" collapsed="false">
      <c r="A38" s="19" t="s">
        <v>54</v>
      </c>
    </row>
    <row r="39" customFormat="false" ht="15" hidden="false" customHeight="true" outlineLevel="0" collapsed="false">
      <c r="A39" s="20" t="s">
        <v>55</v>
      </c>
    </row>
    <row r="40" customFormat="false" ht="15" hidden="false" customHeight="true" outlineLevel="0" collapsed="false">
      <c r="A40" s="21" t="s">
        <v>56</v>
      </c>
    </row>
  </sheetData>
  <mergeCells count="8">
    <mergeCell ref="A1:F1"/>
    <mergeCell ref="A3:F3"/>
    <mergeCell ref="A8:F8"/>
    <mergeCell ref="A17:F17"/>
    <mergeCell ref="A23:F23"/>
    <mergeCell ref="A27:F27"/>
    <mergeCell ref="A30:F30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4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57</v>
      </c>
      <c r="B1" s="2"/>
      <c r="C1" s="2"/>
      <c r="D1" s="2"/>
      <c r="E1" s="2"/>
      <c r="F1" s="2"/>
    </row>
    <row r="2" customFormat="false" ht="18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customFormat="false" ht="15" hidden="false" customHeight="true" outlineLevel="0" collapsed="false">
      <c r="A3" s="5" t="s">
        <v>58</v>
      </c>
      <c r="B3" s="5"/>
      <c r="C3" s="5"/>
      <c r="D3" s="5"/>
      <c r="E3" s="5"/>
      <c r="F3" s="5"/>
    </row>
    <row r="4" customFormat="false" ht="15" hidden="false" customHeight="true" outlineLevel="0" collapsed="false">
      <c r="A4" s="6" t="s">
        <v>59</v>
      </c>
      <c r="B4" s="22" t="n">
        <f aca="false">ROUND((Assumptions!B19*5/Assumptions!B21)*Assumptions!B20,0)</f>
        <v>0</v>
      </c>
      <c r="C4" s="22" t="n">
        <f aca="false">ROUND((Assumptions!C19*3/Assumptions!C21)*Assumptions!C20,0)</f>
        <v>10</v>
      </c>
      <c r="D4" s="22" t="n">
        <f aca="false">ROUND((Assumptions!D19*2/Assumptions!D21)*Assumptions!D20,0)</f>
        <v>20</v>
      </c>
      <c r="E4" s="22" t="n">
        <f aca="false">ROUND((Assumptions!E19*7/Assumptions!E21)*Assumptions!E20,0)</f>
        <v>70</v>
      </c>
      <c r="F4" s="22" t="n">
        <f aca="false">ROUND((Assumptions!F19*12/Assumptions!F21)*Assumptions!F20,0)</f>
        <v>120</v>
      </c>
      <c r="G4" s="6" t="s">
        <v>60</v>
      </c>
    </row>
    <row r="5" customFormat="false" ht="15" hidden="false" customHeight="true" outlineLevel="0" collapsed="false">
      <c r="A5" s="6" t="s">
        <v>61</v>
      </c>
      <c r="B5" s="23" t="n">
        <f aca="false">Assumptions!B28</f>
        <v>10</v>
      </c>
      <c r="C5" s="23" t="n">
        <f aca="false">Assumptions!C28</f>
        <v>25</v>
      </c>
      <c r="D5" s="23" t="n">
        <f aca="false">Assumptions!D28</f>
        <v>75</v>
      </c>
      <c r="E5" s="23" t="n">
        <f aca="false">Assumptions!E28</f>
        <v>50</v>
      </c>
      <c r="F5" s="23" t="n">
        <f aca="false">Assumptions!F28</f>
        <v>150</v>
      </c>
      <c r="G5" s="1" t="s">
        <v>62</v>
      </c>
    </row>
    <row r="6" customFormat="false" ht="15" hidden="false" customHeight="true" outlineLevel="0" collapsed="false">
      <c r="A6" s="6" t="s">
        <v>63</v>
      </c>
      <c r="B6" s="22" t="n">
        <f aca="false">ROUND((B4+B5)*Assumptions!B25/(1-IF(Assumptions!B25&gt;=0.999,0.999,Assumptions!B25)),0)</f>
        <v>0</v>
      </c>
      <c r="C6" s="22" t="n">
        <f aca="false">ROUND((C4+C5)*Assumptions!C25/(1-IF(Assumptions!C25&gt;=0.999,0.999,Assumptions!C25)),0)</f>
        <v>2</v>
      </c>
      <c r="D6" s="22" t="n">
        <f aca="false">ROUND((D4+D5)*Assumptions!D25/(1-IF(Assumptions!D25&gt;=0.999,0.999,Assumptions!D25)),0)</f>
        <v>11</v>
      </c>
      <c r="E6" s="22" t="n">
        <f aca="false">ROUND((E4+E5)*Assumptions!E25/(1-IF(Assumptions!E25&gt;=0.999,0.999,Assumptions!E25)),0)</f>
        <v>21</v>
      </c>
      <c r="F6" s="22" t="n">
        <f aca="false">ROUND((F4+F5)*Assumptions!F25/(1-IF(Assumptions!F25&gt;=0.999,0.999,Assumptions!F25)),0)</f>
        <v>37</v>
      </c>
      <c r="G6" s="6" t="s">
        <v>64</v>
      </c>
    </row>
    <row r="7" customFormat="false" ht="15" hidden="false" customHeight="true" outlineLevel="0" collapsed="false">
      <c r="A7" s="14" t="s">
        <v>65</v>
      </c>
      <c r="B7" s="24" t="n">
        <f aca="false">B4+B5+B6</f>
        <v>10</v>
      </c>
      <c r="C7" s="24" t="n">
        <f aca="false">C4+C5+C6</f>
        <v>37</v>
      </c>
      <c r="D7" s="24" t="n">
        <f aca="false">D4+D5+D6</f>
        <v>106</v>
      </c>
      <c r="E7" s="24" t="n">
        <f aca="false">E4+E5+E6</f>
        <v>141</v>
      </c>
      <c r="F7" s="24" t="n">
        <f aca="false">F4+F5+F6</f>
        <v>307</v>
      </c>
      <c r="G7" s="1" t="s">
        <v>66</v>
      </c>
    </row>
    <row r="9" customFormat="false" ht="15" hidden="false" customHeight="true" outlineLevel="0" collapsed="false">
      <c r="A9" s="5" t="s">
        <v>67</v>
      </c>
      <c r="B9" s="5"/>
      <c r="C9" s="5"/>
      <c r="D9" s="5"/>
      <c r="E9" s="5"/>
      <c r="F9" s="5"/>
    </row>
    <row r="10" customFormat="false" ht="15" hidden="false" customHeight="true" outlineLevel="0" collapsed="false">
      <c r="A10" s="6" t="s">
        <v>68</v>
      </c>
      <c r="B10" s="25" t="n">
        <f aca="false">B7*Assumptions!B4*Assumptions!B6</f>
        <v>399.9</v>
      </c>
      <c r="C10" s="25" t="n">
        <f aca="false">C7*Assumptions!C4*Assumptions!C6</f>
        <v>1479.63</v>
      </c>
      <c r="D10" s="25" t="n">
        <f aca="false">D7*Assumptions!D4*Assumptions!D6</f>
        <v>4238.94</v>
      </c>
      <c r="E10" s="25" t="n">
        <f aca="false">E7*Assumptions!E4*Assumptions!E6</f>
        <v>5638.59</v>
      </c>
      <c r="F10" s="25" t="n">
        <f aca="false">F7*Assumptions!F4*Assumptions!F6</f>
        <v>12276.93</v>
      </c>
      <c r="G10" s="1" t="s">
        <v>69</v>
      </c>
    </row>
    <row r="11" customFormat="false" ht="15" hidden="false" customHeight="true" outlineLevel="0" collapsed="false">
      <c r="A11" s="6" t="s">
        <v>70</v>
      </c>
      <c r="B11" s="25" t="n">
        <f aca="false">-B10*Assumptions!B5</f>
        <v>-19.995</v>
      </c>
      <c r="C11" s="25" t="n">
        <f aca="false">-C10*Assumptions!C5</f>
        <v>-73.9815</v>
      </c>
      <c r="D11" s="25" t="n">
        <f aca="false">-D10*Assumptions!D5</f>
        <v>-211.947</v>
      </c>
      <c r="E11" s="25" t="n">
        <f aca="false">-E10*Assumptions!E5</f>
        <v>-281.9295</v>
      </c>
      <c r="F11" s="25" t="n">
        <f aca="false">-F10*Assumptions!F5</f>
        <v>-613.8465</v>
      </c>
      <c r="G11" s="1" t="s">
        <v>71</v>
      </c>
    </row>
    <row r="12" customFormat="false" ht="15" hidden="false" customHeight="true" outlineLevel="0" collapsed="false">
      <c r="A12" s="14" t="s">
        <v>72</v>
      </c>
      <c r="B12" s="26" t="n">
        <f aca="false">B10+B11</f>
        <v>379.905</v>
      </c>
      <c r="C12" s="26" t="n">
        <f aca="false">C10+C11</f>
        <v>1405.6485</v>
      </c>
      <c r="D12" s="26" t="n">
        <f aca="false">D10+D11</f>
        <v>4026.993</v>
      </c>
      <c r="E12" s="26" t="n">
        <f aca="false">E10+E11</f>
        <v>5356.6605</v>
      </c>
      <c r="F12" s="26" t="n">
        <f aca="false">F10+F11</f>
        <v>11663.0835</v>
      </c>
      <c r="G12" s="1" t="s">
        <v>73</v>
      </c>
    </row>
    <row r="14" customFormat="false" ht="15" hidden="false" customHeight="true" outlineLevel="0" collapsed="false">
      <c r="A14" s="5" t="s">
        <v>74</v>
      </c>
      <c r="B14" s="5"/>
      <c r="C14" s="5"/>
      <c r="D14" s="5"/>
      <c r="E14" s="5"/>
      <c r="F14" s="5"/>
    </row>
    <row r="15" customFormat="false" ht="15" hidden="false" customHeight="true" outlineLevel="0" collapsed="false">
      <c r="A15" s="6" t="s">
        <v>75</v>
      </c>
      <c r="B15" s="25" t="n">
        <f aca="false">-B7*Assumptions!B15</f>
        <v>-0</v>
      </c>
      <c r="C15" s="25" t="n">
        <f aca="false">-C7*Assumptions!C15</f>
        <v>-0</v>
      </c>
      <c r="D15" s="25" t="n">
        <f aca="false">-D7*Assumptions!D15</f>
        <v>-0</v>
      </c>
      <c r="E15" s="25" t="n">
        <f aca="false">-E7*Assumptions!E15</f>
        <v>-0</v>
      </c>
      <c r="F15" s="25" t="n">
        <f aca="false">-F7*Assumptions!F15</f>
        <v>-0</v>
      </c>
      <c r="G15" s="1" t="s">
        <v>76</v>
      </c>
    </row>
    <row r="16" customFormat="false" ht="15" hidden="false" customHeight="true" outlineLevel="0" collapsed="false">
      <c r="A16" s="6" t="s">
        <v>77</v>
      </c>
      <c r="B16" s="25" t="n">
        <f aca="false">-B12*Assumptions!B31</f>
        <v>-11.017245</v>
      </c>
      <c r="C16" s="25" t="n">
        <f aca="false">-C12*Assumptions!C31</f>
        <v>-40.7638065</v>
      </c>
      <c r="D16" s="25" t="n">
        <f aca="false">-D12*Assumptions!D31</f>
        <v>-116.782797</v>
      </c>
      <c r="E16" s="25" t="n">
        <f aca="false">-E12*Assumptions!E31</f>
        <v>-155.3431545</v>
      </c>
      <c r="F16" s="25" t="n">
        <f aca="false">-F12*Assumptions!F31</f>
        <v>-338.2294215</v>
      </c>
      <c r="G16" s="1" t="s">
        <v>78</v>
      </c>
    </row>
    <row r="17" customFormat="false" ht="15" hidden="false" customHeight="true" outlineLevel="0" collapsed="false">
      <c r="A17" s="6" t="s">
        <v>79</v>
      </c>
      <c r="B17" s="25" t="n">
        <f aca="false">-B7*Assumptions!B32</f>
        <v>-3</v>
      </c>
      <c r="C17" s="25" t="n">
        <f aca="false">-C7*Assumptions!C32</f>
        <v>-11.1</v>
      </c>
      <c r="D17" s="25" t="n">
        <f aca="false">-D7*Assumptions!D32</f>
        <v>-31.8</v>
      </c>
      <c r="E17" s="25" t="n">
        <f aca="false">-E7*Assumptions!E32</f>
        <v>-42.3</v>
      </c>
      <c r="F17" s="25" t="n">
        <f aca="false">-F7*Assumptions!F32</f>
        <v>-92.1</v>
      </c>
      <c r="G17" s="1" t="s">
        <v>80</v>
      </c>
    </row>
    <row r="18" customFormat="false" ht="15" hidden="false" customHeight="true" outlineLevel="0" collapsed="false">
      <c r="A18" s="6" t="s">
        <v>81</v>
      </c>
      <c r="B18" s="25" t="n">
        <f aca="false">-B6*Assumptions!B4*Assumptions!B24</f>
        <v>-0</v>
      </c>
      <c r="C18" s="25" t="n">
        <f aca="false">-C6*Assumptions!C4*Assumptions!C24</f>
        <v>-15.996</v>
      </c>
      <c r="D18" s="25" t="n">
        <f aca="false">-D6*Assumptions!D4*Assumptions!D24</f>
        <v>-87.978</v>
      </c>
      <c r="E18" s="25" t="n">
        <f aca="false">-E6*Assumptions!E4*Assumptions!E24</f>
        <v>-167.958</v>
      </c>
      <c r="F18" s="25" t="n">
        <f aca="false">-F6*Assumptions!F4*Assumptions!F24</f>
        <v>-295.926</v>
      </c>
      <c r="G18" s="1" t="s">
        <v>82</v>
      </c>
    </row>
    <row r="19" customFormat="false" ht="15" hidden="false" customHeight="true" outlineLevel="0" collapsed="false">
      <c r="A19" s="6" t="s">
        <v>83</v>
      </c>
      <c r="B19" s="25" t="n">
        <f aca="false">-Assumptions!B19*5</f>
        <v>-0</v>
      </c>
      <c r="C19" s="25" t="n">
        <f aca="false">-Assumptions!C19*3</f>
        <v>-750</v>
      </c>
      <c r="D19" s="25" t="n">
        <f aca="false">-Assumptions!D19*2</f>
        <v>-1000</v>
      </c>
      <c r="E19" s="25" t="n">
        <f aca="false">-Assumptions!E19*7</f>
        <v>-3500</v>
      </c>
      <c r="F19" s="25" t="n">
        <f aca="false">-Assumptions!F19*12</f>
        <v>-6000</v>
      </c>
      <c r="G19" s="1" t="s">
        <v>84</v>
      </c>
    </row>
    <row r="20" customFormat="false" ht="15" hidden="false" customHeight="true" outlineLevel="0" collapsed="false">
      <c r="A20" s="6" t="s">
        <v>85</v>
      </c>
      <c r="B20" s="25" t="n">
        <f aca="false">-Assumptions!B18*5</f>
        <v>-0</v>
      </c>
      <c r="C20" s="25" t="n">
        <f aca="false">-Assumptions!C18*3</f>
        <v>-750</v>
      </c>
      <c r="D20" s="25" t="n">
        <f aca="false">-Assumptions!D18*2</f>
        <v>-1000</v>
      </c>
      <c r="E20" s="25" t="n">
        <f aca="false">-Assumptions!E18*7</f>
        <v>-3500</v>
      </c>
      <c r="F20" s="25" t="n">
        <f aca="false">-Assumptions!F18*12</f>
        <v>-6000</v>
      </c>
      <c r="G20" s="1" t="s">
        <v>86</v>
      </c>
    </row>
    <row r="21" customFormat="false" ht="15" hidden="false" customHeight="true" outlineLevel="0" collapsed="false">
      <c r="A21" s="6" t="s">
        <v>87</v>
      </c>
      <c r="B21" s="25" t="n">
        <f aca="false">-B7*Assumptions!B33</f>
        <v>-10</v>
      </c>
      <c r="C21" s="25" t="n">
        <f aca="false">-C7*Assumptions!C33</f>
        <v>-37</v>
      </c>
      <c r="D21" s="25" t="n">
        <f aca="false">-D7*Assumptions!D33</f>
        <v>-106</v>
      </c>
      <c r="E21" s="25" t="n">
        <f aca="false">-E7*Assumptions!E33</f>
        <v>-141</v>
      </c>
      <c r="F21" s="25" t="n">
        <f aca="false">-F7*Assumptions!F33</f>
        <v>-307</v>
      </c>
      <c r="G21" s="1" t="s">
        <v>88</v>
      </c>
    </row>
    <row r="22" customFormat="false" ht="15" hidden="false" customHeight="true" outlineLevel="0" collapsed="false">
      <c r="A22" s="14" t="s">
        <v>89</v>
      </c>
      <c r="B22" s="26" t="n">
        <f aca="false">SUM(B15:B21)</f>
        <v>-24.017245</v>
      </c>
      <c r="C22" s="26" t="n">
        <f aca="false">SUM(C15:C21)</f>
        <v>-1604.8598065</v>
      </c>
      <c r="D22" s="26" t="n">
        <f aca="false">SUM(D15:D21)</f>
        <v>-2342.560797</v>
      </c>
      <c r="E22" s="26" t="n">
        <f aca="false">SUM(E15:E21)</f>
        <v>-7506.6011545</v>
      </c>
      <c r="F22" s="26" t="n">
        <f aca="false">SUM(F15:F21)</f>
        <v>-13033.2554215</v>
      </c>
      <c r="G22" s="1" t="s">
        <v>90</v>
      </c>
    </row>
    <row r="24" customFormat="false" ht="15" hidden="false" customHeight="true" outlineLevel="0" collapsed="false">
      <c r="A24" s="5" t="s">
        <v>91</v>
      </c>
      <c r="B24" s="5"/>
      <c r="C24" s="5"/>
      <c r="D24" s="5"/>
      <c r="E24" s="5"/>
      <c r="F24" s="5"/>
    </row>
    <row r="25" customFormat="false" ht="15" hidden="false" customHeight="true" outlineLevel="0" collapsed="false">
      <c r="A25" s="14" t="s">
        <v>92</v>
      </c>
      <c r="B25" s="27" t="n">
        <f aca="false">IF(B12=0,0,B24/B12)</f>
        <v>0</v>
      </c>
      <c r="C25" s="27" t="n">
        <f aca="false">IF(C12=0,0,C24/C12)</f>
        <v>0</v>
      </c>
      <c r="D25" s="27" t="n">
        <f aca="false">IF(D12=0,0,D24/D12)</f>
        <v>0</v>
      </c>
      <c r="E25" s="27" t="n">
        <f aca="false">IF(E12=0,0,E24/E12)</f>
        <v>0</v>
      </c>
      <c r="F25" s="27" t="n">
        <f aca="false">IF(F12=0,0,F24/F12)</f>
        <v>0</v>
      </c>
      <c r="G25" s="1" t="s">
        <v>93</v>
      </c>
    </row>
    <row r="26" customFormat="false" ht="15" hidden="false" customHeight="true" outlineLevel="0" collapsed="false">
      <c r="A26" s="6" t="s">
        <v>94</v>
      </c>
      <c r="B26" s="28" t="n">
        <f aca="false">IF(B12=0,0,B25/B12)</f>
        <v>0</v>
      </c>
      <c r="C26" s="28" t="n">
        <f aca="false">IF(C12=0,0,C25/C12)</f>
        <v>0</v>
      </c>
      <c r="D26" s="28" t="n">
        <f aca="false">IF(D12=0,0,D25/D12)</f>
        <v>0</v>
      </c>
      <c r="E26" s="28" t="n">
        <f aca="false">IF(E12=0,0,E25/E12)</f>
        <v>0</v>
      </c>
      <c r="F26" s="28" t="n">
        <f aca="false">IF(F12=0,0,F25/F12)</f>
        <v>0</v>
      </c>
      <c r="G26" s="1" t="s">
        <v>95</v>
      </c>
    </row>
    <row r="28" customFormat="false" ht="15" hidden="false" customHeight="true" outlineLevel="0" collapsed="false">
      <c r="A28" s="5" t="s">
        <v>96</v>
      </c>
      <c r="B28" s="5"/>
      <c r="C28" s="5"/>
      <c r="D28" s="5"/>
      <c r="E28" s="5"/>
      <c r="F28" s="5"/>
    </row>
    <row r="29" customFormat="false" ht="15" hidden="false" customHeight="true" outlineLevel="0" collapsed="false">
      <c r="A29" s="14" t="s">
        <v>97</v>
      </c>
      <c r="B29" s="29" t="n">
        <f aca="false">IF(B7=0,0,B22/B7)</f>
        <v>-2.4017245</v>
      </c>
      <c r="C29" s="29" t="n">
        <f aca="false">IF(C7=0,0,C22/C7)</f>
        <v>-43.3745893648649</v>
      </c>
      <c r="D29" s="29" t="n">
        <f aca="false">IF(D7=0,0,D22/D7)</f>
        <v>-22.0996301603774</v>
      </c>
      <c r="E29" s="29" t="n">
        <f aca="false">IF(E7=0,0,E22/E7)</f>
        <v>-53.2383060602837</v>
      </c>
      <c r="F29" s="29" t="n">
        <f aca="false">IF(F7=0,0,F22/F7)</f>
        <v>-42.4536007214984</v>
      </c>
      <c r="G29" s="1" t="s">
        <v>98</v>
      </c>
    </row>
    <row r="30" customFormat="false" ht="15" hidden="false" customHeight="true" outlineLevel="0" collapsed="false">
      <c r="A30" s="6" t="s">
        <v>99</v>
      </c>
      <c r="B30" s="30" t="n">
        <f aca="false">IF(B7=0,0,B24/B7)</f>
        <v>0</v>
      </c>
      <c r="C30" s="30" t="n">
        <f aca="false">IF(C7=0,0,C24/C7)</f>
        <v>0</v>
      </c>
      <c r="D30" s="30" t="n">
        <f aca="false">IF(D7=0,0,D24/D7)</f>
        <v>0</v>
      </c>
      <c r="E30" s="30" t="n">
        <f aca="false">IF(E7=0,0,E24/E7)</f>
        <v>0</v>
      </c>
      <c r="F30" s="30" t="n">
        <f aca="false">IF(F7=0,0,F24/F7)</f>
        <v>0</v>
      </c>
      <c r="G30" s="1" t="s">
        <v>100</v>
      </c>
    </row>
    <row r="31" customFormat="false" ht="15" hidden="false" customHeight="true" outlineLevel="0" collapsed="false">
      <c r="A31" s="14" t="s">
        <v>101</v>
      </c>
      <c r="B31" s="15" t="n">
        <f aca="false">IF(B7=0,0,B25/B7)</f>
        <v>0</v>
      </c>
      <c r="C31" s="15" t="n">
        <f aca="false">IF(C7=0,0,C25/C7)</f>
        <v>0</v>
      </c>
      <c r="D31" s="15" t="n">
        <f aca="false">IF(D7=0,0,D25/D7)</f>
        <v>0</v>
      </c>
      <c r="E31" s="15" t="n">
        <f aca="false">IF(E7=0,0,E25/E7)</f>
        <v>0</v>
      </c>
      <c r="F31" s="15" t="n">
        <f aca="false">IF(F7=0,0,F25/F7)</f>
        <v>0</v>
      </c>
      <c r="G31" s="1" t="s">
        <v>102</v>
      </c>
    </row>
    <row r="33" customFormat="false" ht="15" hidden="false" customHeight="true" outlineLevel="0" collapsed="false">
      <c r="A33" s="5" t="s">
        <v>103</v>
      </c>
      <c r="B33" s="5"/>
      <c r="C33" s="5"/>
      <c r="D33" s="5"/>
      <c r="E33" s="5"/>
      <c r="F33" s="5"/>
    </row>
    <row r="34" customFormat="false" ht="15" hidden="false" customHeight="true" outlineLevel="0" collapsed="false">
      <c r="A34" s="6" t="s">
        <v>104</v>
      </c>
      <c r="B34" s="22" t="n">
        <f aca="false">B4</f>
        <v>0</v>
      </c>
      <c r="C34" s="22" t="n">
        <f aca="false">C4</f>
        <v>10</v>
      </c>
      <c r="D34" s="22" t="n">
        <f aca="false">D4</f>
        <v>20</v>
      </c>
      <c r="E34" s="22" t="n">
        <f aca="false">E4</f>
        <v>70</v>
      </c>
      <c r="F34" s="22" t="n">
        <f aca="false">F4</f>
        <v>120</v>
      </c>
      <c r="G34" s="1" t="s">
        <v>105</v>
      </c>
    </row>
    <row r="35" customFormat="false" ht="15" hidden="false" customHeight="true" outlineLevel="0" collapsed="false">
      <c r="A35" s="6" t="s">
        <v>106</v>
      </c>
      <c r="B35" s="30" t="n">
        <f aca="false">IF(B34=0,0,B33/B34)</f>
        <v>0</v>
      </c>
      <c r="C35" s="30" t="n">
        <f aca="false">IF(C34=0,0,C33/C34)</f>
        <v>0</v>
      </c>
      <c r="D35" s="30" t="n">
        <f aca="false">IF(D34=0,0,D33/D34)</f>
        <v>0</v>
      </c>
      <c r="E35" s="30" t="n">
        <f aca="false">IF(E34=0,0,E33/E34)</f>
        <v>0</v>
      </c>
      <c r="F35" s="30" t="n">
        <f aca="false">IF(F34=0,0,F33/F34)</f>
        <v>0</v>
      </c>
      <c r="G35" s="1" t="s">
        <v>107</v>
      </c>
    </row>
    <row r="36" customFormat="false" ht="15" hidden="false" customHeight="true" outlineLevel="0" collapsed="false">
      <c r="A36" s="14" t="s">
        <v>108</v>
      </c>
      <c r="B36" s="29" t="n">
        <f aca="false">IF(B7=0,0,B33/B7)</f>
        <v>0</v>
      </c>
      <c r="C36" s="29" t="n">
        <f aca="false">IF(C7=0,0,C33/C7)</f>
        <v>0</v>
      </c>
      <c r="D36" s="29" t="n">
        <f aca="false">IF(D7=0,0,D33/D7)</f>
        <v>0</v>
      </c>
      <c r="E36" s="29" t="n">
        <f aca="false">IF(E7=0,0,E33/E7)</f>
        <v>0</v>
      </c>
      <c r="F36" s="29" t="n">
        <f aca="false">IF(F7=0,0,F33/F7)</f>
        <v>0</v>
      </c>
      <c r="G36" s="1" t="s">
        <v>109</v>
      </c>
    </row>
    <row r="37" customFormat="false" ht="15" hidden="false" customHeight="true" outlineLevel="0" collapsed="false">
      <c r="A37" s="14" t="s">
        <v>110</v>
      </c>
      <c r="B37" s="15" t="n">
        <f aca="false">IF(B7=0,0,B34/B7)</f>
        <v>0</v>
      </c>
      <c r="C37" s="15" t="n">
        <f aca="false">IF(C7=0,0,C34/C7)</f>
        <v>0.27027027027027</v>
      </c>
      <c r="D37" s="15" t="n">
        <f aca="false">IF(D7=0,0,D34/D7)</f>
        <v>0.188679245283019</v>
      </c>
      <c r="E37" s="15" t="n">
        <f aca="false">IF(E7=0,0,E34/E7)</f>
        <v>0.49645390070922</v>
      </c>
      <c r="F37" s="15" t="n">
        <f aca="false">IF(F7=0,0,F34/F7)</f>
        <v>0.390879478827362</v>
      </c>
      <c r="G37" s="1" t="s">
        <v>111</v>
      </c>
    </row>
  </sheetData>
  <mergeCells count="7">
    <mergeCell ref="A1:F1"/>
    <mergeCell ref="A3:F3"/>
    <mergeCell ref="A9:F9"/>
    <mergeCell ref="A14:F14"/>
    <mergeCell ref="A24:F24"/>
    <mergeCell ref="A28:F28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112</v>
      </c>
      <c r="B1" s="2"/>
      <c r="C1" s="2"/>
      <c r="D1" s="2"/>
    </row>
    <row r="2" customFormat="false" ht="18" hidden="false" customHeight="true" outlineLevel="0" collapsed="false">
      <c r="B2" s="3" t="s">
        <v>113</v>
      </c>
      <c r="C2" s="3" t="s">
        <v>114</v>
      </c>
      <c r="D2" s="3" t="s">
        <v>115</v>
      </c>
      <c r="E2" s="4" t="s">
        <v>6</v>
      </c>
    </row>
    <row r="3" customFormat="false" ht="15" hidden="false" customHeight="true" outlineLevel="0" collapsed="false">
      <c r="A3" s="5" t="s">
        <v>116</v>
      </c>
      <c r="B3" s="5"/>
      <c r="C3" s="5"/>
      <c r="D3" s="5"/>
    </row>
    <row r="4" customFormat="false" ht="15" hidden="false" customHeight="true" outlineLevel="0" collapsed="false">
      <c r="A4" s="6" t="s">
        <v>117</v>
      </c>
      <c r="B4" s="12" t="n">
        <v>50</v>
      </c>
      <c r="C4" s="12" t="n">
        <v>200</v>
      </c>
      <c r="D4" s="12" t="n">
        <v>500</v>
      </c>
      <c r="E4" s="1" t="s">
        <v>118</v>
      </c>
    </row>
    <row r="5" customFormat="false" ht="15" hidden="false" customHeight="true" outlineLevel="0" collapsed="false">
      <c r="A5" s="6" t="s">
        <v>119</v>
      </c>
      <c r="B5" s="7" t="n">
        <v>39.99</v>
      </c>
      <c r="C5" s="7" t="n">
        <v>39.99</v>
      </c>
      <c r="D5" s="7" t="n">
        <v>39.99</v>
      </c>
      <c r="E5" s="1" t="s">
        <v>120</v>
      </c>
    </row>
    <row r="6" customFormat="false" ht="15" hidden="false" customHeight="true" outlineLevel="0" collapsed="false">
      <c r="A6" s="8" t="s">
        <v>121</v>
      </c>
      <c r="B6" s="13" t="n">
        <v>3.5</v>
      </c>
      <c r="C6" s="13" t="n">
        <v>2.5</v>
      </c>
      <c r="D6" s="13" t="n">
        <v>1.8</v>
      </c>
      <c r="E6" s="1" t="s">
        <v>122</v>
      </c>
    </row>
    <row r="7" customFormat="false" ht="15" hidden="false" customHeight="true" outlineLevel="0" collapsed="false">
      <c r="A7" s="6" t="s">
        <v>123</v>
      </c>
      <c r="B7" s="17" t="n">
        <v>0.05</v>
      </c>
      <c r="C7" s="17" t="n">
        <v>0.1</v>
      </c>
      <c r="D7" s="17" t="n">
        <v>0.2</v>
      </c>
      <c r="E7" s="1" t="s">
        <v>124</v>
      </c>
    </row>
    <row r="8" customFormat="false" ht="15" hidden="false" customHeight="true" outlineLevel="0" collapsed="false">
      <c r="A8" s="6" t="s">
        <v>125</v>
      </c>
      <c r="B8" s="16" t="n">
        <v>1000</v>
      </c>
      <c r="C8" s="16" t="n">
        <v>1000</v>
      </c>
      <c r="D8" s="16" t="n">
        <v>1000</v>
      </c>
      <c r="E8" s="1" t="s">
        <v>126</v>
      </c>
    </row>
    <row r="9" customFormat="false" ht="15" hidden="false" customHeight="true" outlineLevel="0" collapsed="false">
      <c r="A9" s="6" t="s">
        <v>10</v>
      </c>
      <c r="B9" s="17" t="n">
        <v>0.08</v>
      </c>
      <c r="C9" s="17" t="n">
        <v>0.05</v>
      </c>
      <c r="D9" s="17" t="n">
        <v>0.03</v>
      </c>
      <c r="E9" s="1" t="s">
        <v>127</v>
      </c>
    </row>
    <row r="11" customFormat="false" ht="15" hidden="false" customHeight="true" outlineLevel="0" collapsed="false">
      <c r="A11" s="5" t="s">
        <v>128</v>
      </c>
      <c r="B11" s="5"/>
      <c r="C11" s="5"/>
      <c r="D11" s="5"/>
    </row>
    <row r="12" customFormat="false" ht="15" hidden="false" customHeight="true" outlineLevel="0" collapsed="false">
      <c r="A12" s="6" t="s">
        <v>129</v>
      </c>
      <c r="B12" s="31" t="n">
        <f aca="false">B4*B5</f>
        <v>1999.5</v>
      </c>
      <c r="C12" s="31" t="n">
        <f aca="false">C4*C5</f>
        <v>7998</v>
      </c>
      <c r="D12" s="31" t="n">
        <f aca="false">D4*D5</f>
        <v>19995</v>
      </c>
      <c r="E12" s="1" t="s">
        <v>130</v>
      </c>
    </row>
    <row r="13" customFormat="false" ht="15" hidden="false" customHeight="true" outlineLevel="0" collapsed="false">
      <c r="A13" s="6" t="s">
        <v>131</v>
      </c>
      <c r="B13" s="31" t="n">
        <f aca="false">B12*(1-B9)</f>
        <v>1839.54</v>
      </c>
      <c r="C13" s="31" t="n">
        <f aca="false">C12*(1-C9)</f>
        <v>7598.1</v>
      </c>
      <c r="D13" s="31" t="n">
        <f aca="false">D12*(1-D9)</f>
        <v>19395.15</v>
      </c>
    </row>
    <row r="14" customFormat="false" ht="15" hidden="false" customHeight="true" outlineLevel="0" collapsed="false">
      <c r="A14" s="6" t="s">
        <v>132</v>
      </c>
      <c r="B14" s="31" t="n">
        <f aca="false">-B4*B6</f>
        <v>-175</v>
      </c>
      <c r="C14" s="31" t="n">
        <f aca="false">-C4*C6</f>
        <v>-500</v>
      </c>
      <c r="D14" s="31" t="n">
        <f aca="false">-D4*D6</f>
        <v>-900</v>
      </c>
    </row>
    <row r="16" customFormat="false" ht="15" hidden="false" customHeight="true" outlineLevel="0" collapsed="false">
      <c r="A16" s="6" t="s">
        <v>133</v>
      </c>
      <c r="B16" s="31" t="n">
        <f aca="false">-B4*B7*B5*0.2</f>
        <v>-19.995</v>
      </c>
      <c r="C16" s="31" t="n">
        <f aca="false">-C4*C7*C5*0.2</f>
        <v>-159.96</v>
      </c>
      <c r="D16" s="31" t="n">
        <f aca="false">-D4*D7*D5*0.2</f>
        <v>-799.8</v>
      </c>
      <c r="E16" s="1" t="s">
        <v>82</v>
      </c>
    </row>
    <row r="17" customFormat="false" ht="15" hidden="false" customHeight="true" outlineLevel="0" collapsed="false">
      <c r="A17" s="6" t="s">
        <v>134</v>
      </c>
      <c r="B17" s="31" t="n">
        <f aca="false">-(B12*0.029+B4*0.3)</f>
        <v>-72.9855</v>
      </c>
      <c r="C17" s="31" t="n">
        <f aca="false">-(C12*0.029+C4*0.3)</f>
        <v>-291.942</v>
      </c>
      <c r="D17" s="31" t="n">
        <f aca="false">-(D12*0.029+D4*0.3)</f>
        <v>-729.855</v>
      </c>
      <c r="E17" s="1" t="s">
        <v>135</v>
      </c>
    </row>
    <row r="18" customFormat="false" ht="15" hidden="false" customHeight="true" outlineLevel="0" collapsed="false">
      <c r="A18" s="6" t="s">
        <v>136</v>
      </c>
      <c r="B18" s="31" t="n">
        <f aca="false">-B8</f>
        <v>-1000</v>
      </c>
      <c r="C18" s="31" t="n">
        <f aca="false">-C8</f>
        <v>-1000</v>
      </c>
      <c r="D18" s="31" t="n">
        <f aca="false">-D8</f>
        <v>-1000</v>
      </c>
      <c r="E18" s="1" t="s">
        <v>137</v>
      </c>
    </row>
    <row r="19" customFormat="false" ht="15" hidden="false" customHeight="true" outlineLevel="0" collapsed="false">
      <c r="A19" s="6" t="s">
        <v>138</v>
      </c>
      <c r="B19" s="31" t="n">
        <f aca="false">-B4*1</f>
        <v>-50</v>
      </c>
      <c r="C19" s="31" t="n">
        <f aca="false">-C4*1</f>
        <v>-200</v>
      </c>
      <c r="D19" s="31" t="n">
        <f aca="false">-D4*1</f>
        <v>-500</v>
      </c>
      <c r="E19" s="1" t="s">
        <v>139</v>
      </c>
    </row>
    <row r="20" customFormat="false" ht="15" hidden="false" customHeight="true" outlineLevel="0" collapsed="false">
      <c r="A20" s="14" t="s">
        <v>92</v>
      </c>
      <c r="B20" s="32" t="n">
        <f aca="false">B13+SUM(B14:B19)</f>
        <v>521.5595</v>
      </c>
      <c r="C20" s="32" t="n">
        <f aca="false">C13+SUM(C14:C19)</f>
        <v>5446.198</v>
      </c>
      <c r="D20" s="32" t="n">
        <f aca="false">D13+SUM(D14:D19)</f>
        <v>15465.495</v>
      </c>
      <c r="E20" s="1" t="s">
        <v>140</v>
      </c>
    </row>
    <row r="21" customFormat="false" ht="15" hidden="false" customHeight="true" outlineLevel="0" collapsed="false">
      <c r="A21" s="14" t="s">
        <v>141</v>
      </c>
      <c r="B21" s="15" t="n">
        <f aca="false">IF(B4=0,0,B20/B4)</f>
        <v>10.43119</v>
      </c>
      <c r="C21" s="15" t="n">
        <f aca="false">IF(C4=0,0,C20/C4)</f>
        <v>27.23099</v>
      </c>
      <c r="D21" s="15" t="n">
        <f aca="false">IF(D4=0,0,D20/D4)</f>
        <v>30.93099</v>
      </c>
    </row>
    <row r="22" customFormat="false" ht="15" hidden="false" customHeight="true" outlineLevel="0" collapsed="false">
      <c r="A22" s="6" t="s">
        <v>142</v>
      </c>
      <c r="B22" s="33" t="n">
        <f aca="false">IF(B4=0,0,B8/B4)</f>
        <v>20</v>
      </c>
      <c r="C22" s="33" t="n">
        <f aca="false">IF(C4=0,0,C8/C4)</f>
        <v>5</v>
      </c>
      <c r="D22" s="33" t="n">
        <f aca="false">IF(D4=0,0,D8/D4)</f>
        <v>2</v>
      </c>
      <c r="E22" s="1" t="s">
        <v>143</v>
      </c>
    </row>
    <row r="23" customFormat="false" ht="15" hidden="false" customHeight="true" outlineLevel="0" collapsed="false">
      <c r="A23" s="6" t="s">
        <v>97</v>
      </c>
      <c r="B23" s="33" t="n">
        <f aca="false">IF(B4=0,0,B13/B4)</f>
        <v>36.7908</v>
      </c>
      <c r="C23" s="33" t="n">
        <f aca="false">IF(C4=0,0,C13/C4)</f>
        <v>37.9905</v>
      </c>
      <c r="D23" s="33" t="n">
        <f aca="false">IF(D4=0,0,D13/D4)</f>
        <v>38.7903</v>
      </c>
      <c r="E23" s="1" t="s">
        <v>98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2"/>
    <col collapsed="false" customWidth="true" hidden="false" outlineLevel="0" max="7" min="7" style="1" width="32"/>
  </cols>
  <sheetData>
    <row r="1" customFormat="false" ht="21.7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4" t="s">
        <v>145</v>
      </c>
      <c r="B2" s="35" t="n">
        <v>3</v>
      </c>
      <c r="C2" s="35" t="n">
        <v>5</v>
      </c>
      <c r="D2" s="35" t="n">
        <v>6</v>
      </c>
      <c r="E2" s="35" t="n">
        <v>8</v>
      </c>
      <c r="F2" s="35" t="n">
        <v>10</v>
      </c>
      <c r="G2" s="18" t="s">
        <v>146</v>
      </c>
    </row>
    <row r="3" customFormat="false" ht="15" hidden="false" customHeight="true" outlineLevel="0" collapsed="false">
      <c r="A3" s="6" t="s">
        <v>147</v>
      </c>
      <c r="B3" s="33" t="n">
        <v>0.375</v>
      </c>
      <c r="C3" s="33" t="n">
        <v>0.625</v>
      </c>
      <c r="D3" s="33" t="n">
        <v>0.75</v>
      </c>
      <c r="E3" s="33" t="n">
        <v>1</v>
      </c>
      <c r="F3" s="33" t="n">
        <v>1.25</v>
      </c>
      <c r="G3" s="6" t="s">
        <v>148</v>
      </c>
    </row>
    <row r="4" customFormat="false" ht="15" hidden="false" customHeight="true" outlineLevel="0" collapsed="false">
      <c r="A4" s="6" t="s">
        <v>149</v>
      </c>
      <c r="B4" s="33" t="n">
        <v>0.405</v>
      </c>
      <c r="C4" s="33" t="n">
        <v>0.675</v>
      </c>
      <c r="D4" s="33" t="n">
        <v>0.81</v>
      </c>
      <c r="E4" s="33" t="n">
        <v>1.08</v>
      </c>
      <c r="F4" s="33" t="n">
        <v>1.35</v>
      </c>
      <c r="G4" s="6" t="s">
        <v>148</v>
      </c>
    </row>
    <row r="5" customFormat="false" ht="15" hidden="false" customHeight="true" outlineLevel="0" collapsed="false">
      <c r="A5" s="6" t="s">
        <v>150</v>
      </c>
      <c r="B5" s="33" t="n">
        <v>0.45</v>
      </c>
      <c r="C5" s="33" t="n">
        <v>0.75</v>
      </c>
      <c r="D5" s="36" t="n">
        <v>0.9</v>
      </c>
      <c r="E5" s="33" t="n">
        <v>1.2</v>
      </c>
      <c r="F5" s="33" t="n">
        <v>1.5</v>
      </c>
      <c r="G5" s="6" t="s">
        <v>148</v>
      </c>
    </row>
    <row r="6" customFormat="false" ht="15" hidden="false" customHeight="true" outlineLevel="0" collapsed="false">
      <c r="A6" s="6" t="s">
        <v>151</v>
      </c>
      <c r="B6" s="33" t="n">
        <v>0.495</v>
      </c>
      <c r="C6" s="33" t="n">
        <v>0.825</v>
      </c>
      <c r="D6" s="33" t="n">
        <v>0.99</v>
      </c>
      <c r="E6" s="33" t="n">
        <v>1.32</v>
      </c>
      <c r="F6" s="33" t="n">
        <v>1.65</v>
      </c>
      <c r="G6" s="6" t="s">
        <v>148</v>
      </c>
    </row>
    <row r="7" customFormat="false" ht="15" hidden="false" customHeight="true" outlineLevel="0" collapsed="false">
      <c r="A7" s="6" t="s">
        <v>152</v>
      </c>
      <c r="B7" s="33" t="n">
        <v>0.555</v>
      </c>
      <c r="C7" s="33" t="n">
        <v>0.925</v>
      </c>
      <c r="D7" s="33" t="n">
        <v>1.11</v>
      </c>
      <c r="E7" s="33" t="n">
        <v>1.48</v>
      </c>
      <c r="F7" s="33" t="n">
        <v>1.85</v>
      </c>
      <c r="G7" s="6" t="s">
        <v>148</v>
      </c>
    </row>
    <row r="9" customFormat="false" ht="15" hidden="false" customHeight="true" outlineLevel="0" collapsed="false">
      <c r="A9" s="37" t="s">
        <v>153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2026-06-09T15:57:09Z</dcterms:created>
  <dc:creator>openpyxl</dc:creator>
  <dc:description/>
  <dc:language>en-US</dc:language>
  <cp:lastModifiedBy/>
  <dcterms:modified xsi:type="dcterms:W3CDTF">2026-06-09T15:58:39Z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